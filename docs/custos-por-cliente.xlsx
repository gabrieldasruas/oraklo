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Premissas" sheetId="1" state="visible" r:id="rId1"/>
    <sheet name="Infra fixa" sheetId="2" state="visible" r:id="rId2"/>
    <sheet name="Custo por cliente" sheetId="3" state="visible" r:id="rId3"/>
    <sheet name="Notas e fon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R$&quot; 0.00"/>
    <numFmt numFmtId="165" formatCode="0.0%;[Red](0.0%);&quot;-&quot;"/>
    <numFmt numFmtId="166" formatCode="#,##0;(#,##0);&quot;-&quot;"/>
    <numFmt numFmtId="167" formatCode="&quot;R$&quot; #,##0.00;[Red](&quot;R$&quot; #,##0.00);&quot;-&quot;"/>
    <numFmt numFmtId="168" formatCode="&quot;US$&quot; #,##0.00;(&quot;US$&quot; #,##0.00);&quot;-&quot;"/>
    <numFmt numFmtId="169" formatCode="&quot;US$&quot; #,##0.0000;(&quot;US$&quot; #,##0.0000)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</font>
    <font>
      <name val="Arial"/>
    </font>
    <font>
      <name val="Arial"/>
      <color rgb="000000FF"/>
    </font>
    <font>
      <name val="Arial"/>
      <b val="1"/>
      <color rgb="00FFFFFF"/>
    </font>
    <font>
      <name val="Arial"/>
      <color rgb="00008000"/>
    </font>
  </fonts>
  <fills count="5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FFFF00"/>
      </patternFill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3" borderId="0" pivotButton="0" quotePrefix="0" xfId="0"/>
    <xf numFmtId="0" fontId="2" fillId="0" borderId="0" applyAlignment="1" pivotButton="0" quotePrefix="0" xfId="0">
      <alignment vertical="top" wrapText="1"/>
    </xf>
    <xf numFmtId="165" fontId="5" fillId="3" borderId="0" pivotButton="0" quotePrefix="0" xfId="0"/>
    <xf numFmtId="166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7" fontId="5" fillId="0" borderId="0" pivotButton="0" quotePrefix="0" xfId="0"/>
    <xf numFmtId="0" fontId="6" fillId="4" borderId="0" applyAlignment="1" pivotButton="0" quotePrefix="0" xfId="0">
      <alignment horizontal="left" wrapText="1"/>
    </xf>
    <xf numFmtId="0" fontId="6" fillId="4" borderId="0" applyAlignment="1" pivotButton="0" quotePrefix="0" xfId="0">
      <alignment horizontal="center" wrapText="1"/>
    </xf>
    <xf numFmtId="0" fontId="6" fillId="4" borderId="0" applyAlignment="1" pivotButton="0" quotePrefix="0" xfId="0">
      <alignment vertical="top" wrapText="1"/>
    </xf>
    <xf numFmtId="168" fontId="5" fillId="0" borderId="0" pivotButton="0" quotePrefix="0" xfId="0"/>
    <xf numFmtId="0" fontId="5" fillId="3" borderId="0" pivotButton="0" quotePrefix="0" xfId="0"/>
    <xf numFmtId="166" fontId="5" fillId="0" borderId="0" pivotButton="0" quotePrefix="0" xfId="0"/>
    <xf numFmtId="169" fontId="4" fillId="0" borderId="0" pivotButton="0" quotePrefix="0" xfId="0"/>
    <xf numFmtId="167" fontId="7" fillId="0" borderId="0" pivotButton="0" quotePrefix="0" xfId="0"/>
    <xf numFmtId="0" fontId="3" fillId="0" borderId="0" pivotButton="0" quotePrefix="0" xfId="0"/>
    <xf numFmtId="168" fontId="3" fillId="0" borderId="0" pivotButton="0" quotePrefix="0" xfId="0"/>
    <xf numFmtId="167" fontId="3" fillId="0" borderId="0" pivotButton="0" quotePrefix="0" xfId="0"/>
    <xf numFmtId="166" fontId="7" fillId="0" borderId="0" pivotButton="0" quotePrefix="0" xfId="0"/>
    <xf numFmtId="167" fontId="4" fillId="0" borderId="0" pivotButton="0" quotePrefix="0" xfId="0"/>
    <xf numFmtId="0" fontId="2" fillId="2" borderId="0" applyAlignment="1" pivotButton="0" quotePrefix="0" xfId="0">
      <alignment vertical="top" wrapText="1"/>
    </xf>
    <xf numFmtId="166" fontId="4" fillId="0" borderId="0" pivotButton="0" quotePrefix="0" xfId="0"/>
    <xf numFmtId="167" fontId="3" fillId="3" borderId="0" pivotButton="0" quotePrefix="0" xfId="0"/>
    <xf numFmtId="165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Oraklo</author>
  </authors>
  <commentList>
    <comment ref="B21" authorId="0" shapeId="0">
      <text>
        <t>Estimativa a partir do SYSTEM e de montarPedido() em lib/ia.ts (~2.800 caracteres).</t>
      </text>
    </comment>
    <comment ref="B22" authorId="0" shapeId="0">
      <text>
        <t>Texto de 60–120 palavras em JSON (~250 tokens) + raciocínio no effort low. O Opus 5.5 não permite desligar o raciocínio. Meça em produção pelo usage da resposta.</t>
      </text>
    </comment>
    <comment ref="B30" authorId="0" shapeId="0">
      <text>
        <t>O follow-up (step 2) não conta no limite de e-mails (lib/planos.ts conta só step 1).</t>
      </text>
    </comment>
    <comment ref="B36" authorId="0" shapeId="0">
      <text>
        <t>buscarDecisores() chama domain-search com limit=10: até 10 créditos por busca.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>
      <c r="A1" s="1" t="inlineStr">
        <is>
          <t>Oraklo · Premissas de custo por cliente</t>
        </is>
      </c>
    </row>
    <row r="2">
      <c r="A2" s="2" t="inlineStr">
        <is>
          <t>Edite só as células em azul. Fundo amarelo = premissa que mais mexe no resultado. Valores em preto são fórmulas.</t>
        </is>
      </c>
    </row>
    <row r="4">
      <c r="A4" s="3" t="inlineStr">
        <is>
          <t>Geral</t>
        </is>
      </c>
      <c r="B4" s="4" t="n"/>
      <c r="C4" s="4" t="n"/>
      <c r="D4" s="4" t="n"/>
      <c r="E4" s="4" t="n"/>
      <c r="F4" s="4" t="n"/>
    </row>
    <row r="5">
      <c r="A5" s="5" t="inlineStr">
        <is>
          <t>Câmbio (R$ por US$)</t>
        </is>
      </c>
      <c r="B5" s="6" t="n">
        <v>5.5</v>
      </c>
      <c r="F5" s="7" t="inlineStr">
        <is>
          <t>Ajuste para a cotação do dia (não encontrei cotação confiável na pesquisa).</t>
        </is>
      </c>
    </row>
    <row r="6">
      <c r="A6" s="5" t="inlineStr">
        <is>
          <t>Taxas sobre a receita (gateway de pagamento + impostos)</t>
        </is>
      </c>
      <c r="B6" s="8" t="n">
        <v>0.1</v>
      </c>
      <c r="F6" s="7" t="inlineStr">
        <is>
          <t>Estimativa: ~4% de gateway + ~6% de Simples Nacional. Confirme com o contador.</t>
        </is>
      </c>
    </row>
    <row r="7">
      <c r="A7" s="5" t="inlineStr">
        <is>
          <t>Clientes pagantes (para ratear a infra fixa)</t>
        </is>
      </c>
      <c r="B7" s="9" t="n">
        <v>20</v>
      </c>
      <c r="F7" s="10" t="n"/>
    </row>
    <row r="8">
      <c r="F8" s="10" t="n"/>
    </row>
    <row r="9">
      <c r="A9" s="3" t="inlineStr">
        <is>
          <t>Preço dos pacotes (R$) — lib/pacotes.ts</t>
        </is>
      </c>
      <c r="B9" s="4" t="n"/>
      <c r="C9" s="4" t="n"/>
      <c r="D9" s="4" t="n"/>
      <c r="E9" s="4" t="n"/>
      <c r="F9" s="11" t="n"/>
    </row>
    <row r="10">
      <c r="A10" s="5" t="inlineStr">
        <is>
          <t>Free (por mês)</t>
        </is>
      </c>
      <c r="B10" s="12" t="n">
        <v>0</v>
      </c>
      <c r="F10" s="10" t="n"/>
    </row>
    <row r="11">
      <c r="A11" s="5" t="inlineStr">
        <is>
          <t>Premium (por mês)</t>
        </is>
      </c>
      <c r="B11" s="12" t="n">
        <v>109.99</v>
      </c>
      <c r="F11" s="10" t="n"/>
    </row>
    <row r="12">
      <c r="A12" s="5" t="inlineStr">
        <is>
          <t>Premium 3 meses (preço do trimestre)</t>
        </is>
      </c>
      <c r="B12" s="12" t="n">
        <v>299.99</v>
      </c>
      <c r="F12" s="10" t="n"/>
    </row>
    <row r="13">
      <c r="A13" s="5" t="inlineStr">
        <is>
          <t>Ultra (por mês)</t>
        </is>
      </c>
      <c r="B13" s="12" t="n">
        <v>599</v>
      </c>
      <c r="F13" s="10" t="n"/>
    </row>
    <row r="14">
      <c r="F14" s="10" t="n"/>
    </row>
    <row r="15">
      <c r="A15" s="3" t="inlineStr">
        <is>
          <t>Claude (IA) — US$ por milhão de tokens</t>
        </is>
      </c>
      <c r="B15" s="4" t="n"/>
      <c r="C15" s="4" t="n"/>
      <c r="D15" s="4" t="n"/>
      <c r="E15" s="4" t="n"/>
      <c r="F15" s="11" t="n"/>
    </row>
    <row r="16">
      <c r="A16" s="13" t="inlineStr">
        <is>
          <t>Modelo</t>
        </is>
      </c>
      <c r="B16" s="14" t="inlineStr">
        <is>
          <t>Entrada</t>
        </is>
      </c>
      <c r="C16" s="14" t="inlineStr">
        <is>
          <t>Saída</t>
        </is>
      </c>
      <c r="D16" s="14" t="inlineStr"/>
      <c r="E16" s="14" t="inlineStr"/>
      <c r="F16" s="15" t="inlineStr">
        <is>
          <t>Fonte</t>
        </is>
      </c>
    </row>
    <row r="17">
      <c r="A17" s="5" t="inlineStr">
        <is>
          <t>Opus 5.5</t>
        </is>
      </c>
      <c r="B17" s="16" t="n">
        <v>4</v>
      </c>
      <c r="C17" s="16" t="n">
        <v>20</v>
      </c>
      <c r="F17" s="7" t="inlineStr">
        <is>
          <t>Preços oficiais da Anthropic (tabela de 06/10/2026).</t>
        </is>
      </c>
    </row>
    <row r="18">
      <c r="A18" s="5" t="inlineStr">
        <is>
          <t>Sonnet 5.5</t>
        </is>
      </c>
      <c r="B18" s="16" t="n">
        <v>2</v>
      </c>
      <c r="C18" s="16" t="n">
        <v>10</v>
      </c>
      <c r="F18" s="10" t="n"/>
    </row>
    <row r="19">
      <c r="A19" s="5" t="inlineStr">
        <is>
          <t>Haiku 5.5</t>
        </is>
      </c>
      <c r="B19" s="16" t="n">
        <v>0.1</v>
      </c>
      <c r="C19" s="16" t="n">
        <v>0.5</v>
      </c>
      <c r="F19" s="10" t="n"/>
    </row>
    <row r="20">
      <c r="A20" s="5" t="inlineStr">
        <is>
          <t>Modelo em uso no código (lib/ia.ts usa Opus 5.5)</t>
        </is>
      </c>
      <c r="B20" s="17" t="inlineStr">
        <is>
          <t>Opus 5.5</t>
        </is>
      </c>
      <c r="F20" s="10" t="n"/>
    </row>
    <row r="21">
      <c r="A21" s="5" t="inlineStr">
        <is>
          <t>Tokens de entrada por texto (prompt do sistema + pedido)</t>
        </is>
      </c>
      <c r="B21" s="18" t="n">
        <v>700</v>
      </c>
      <c r="F21" s="10" t="n"/>
    </row>
    <row r="22">
      <c r="A22" s="5" t="inlineStr">
        <is>
          <t>Tokens de saída por texto (texto + raciocínio, effort low)</t>
        </is>
      </c>
      <c r="B22" s="9" t="n">
        <v>600</v>
      </c>
      <c r="F22" s="10" t="n"/>
    </row>
    <row r="23">
      <c r="A23" s="5" t="inlineStr">
        <is>
          <t>Custo por texto com o modelo em uso (US$)</t>
        </is>
      </c>
      <c r="B23" s="19">
        <f>(B21*INDEX(B17:B19,MATCH(B20,A17:A19,0))+B22*INDEX(C17:C19,MATCH(B20,A17:A19,0)))/1000000</f>
        <v/>
      </c>
      <c r="F23" s="10" t="n"/>
    </row>
    <row r="24">
      <c r="A24" s="5" t="inlineStr">
        <is>
          <t>Custo por texto se trocar para Haiku 5.5 (US$)</t>
        </is>
      </c>
      <c r="B24" s="19">
        <f>(B21*B19+B22*C19)/1000000</f>
        <v/>
      </c>
      <c r="F24" s="10" t="n"/>
    </row>
    <row r="25">
      <c r="F25" s="10" t="n"/>
    </row>
    <row r="26">
      <c r="A26" s="3" t="inlineStr">
        <is>
          <t>Resend (e-mail)</t>
        </is>
      </c>
      <c r="B26" s="4" t="n"/>
      <c r="C26" s="4" t="n"/>
      <c r="D26" s="4" t="n"/>
      <c r="E26" s="4" t="n"/>
      <c r="F26" s="11" t="n"/>
    </row>
    <row r="27">
      <c r="A27" s="5" t="inlineStr">
        <is>
          <t>Preço do plano Pro (US$/mês)</t>
        </is>
      </c>
      <c r="B27" s="16" t="n">
        <v>20</v>
      </c>
      <c r="F27" s="7" t="inlineStr">
        <is>
          <t>Pro US$ 20 / 50 mil e-mails; excedente ~US$ 0,90 por mil. Política de uso proíbe e-mail frio.</t>
        </is>
      </c>
    </row>
    <row r="28">
      <c r="A28" s="5" t="inlineStr">
        <is>
          <t>E-mails inclusos no plano</t>
        </is>
      </c>
      <c r="B28" s="18" t="n">
        <v>50000</v>
      </c>
      <c r="F28" s="10" t="n"/>
    </row>
    <row r="29">
      <c r="A29" s="5" t="inlineStr">
        <is>
          <t>Custo por e-mail (US$)</t>
        </is>
      </c>
      <c r="B29" s="19">
        <f>B27/B28</f>
        <v/>
      </c>
      <c r="F29" s="10" t="n"/>
    </row>
    <row r="30">
      <c r="A30" s="5" t="inlineStr">
        <is>
          <t>Envios por e-mail do limite quando há follow-up</t>
        </is>
      </c>
      <c r="B30" s="18" t="n">
        <v>2</v>
      </c>
      <c r="F30" s="10" t="n"/>
    </row>
    <row r="31">
      <c r="F31" s="10" t="n"/>
    </row>
    <row r="32">
      <c r="A32" s="3" t="inlineStr">
        <is>
          <t>Hunter (decisores)</t>
        </is>
      </c>
      <c r="B32" s="4" t="n"/>
      <c r="C32" s="4" t="n"/>
      <c r="D32" s="4" t="n"/>
      <c r="E32" s="4" t="n"/>
      <c r="F32" s="11" t="n"/>
    </row>
    <row r="33">
      <c r="A33" s="5" t="inlineStr">
        <is>
          <t>Preço do plano Starter (US$/mês)</t>
        </is>
      </c>
      <c r="B33" s="16" t="n">
        <v>49</v>
      </c>
      <c r="F33" s="7" t="inlineStr">
        <is>
          <t>Starter US$ 49 mensal (US$ 34 no anual) / 2.000 créditos. Créditos não acumulam.</t>
        </is>
      </c>
    </row>
    <row r="34">
      <c r="A34" s="5" t="inlineStr">
        <is>
          <t>Créditos inclusos</t>
        </is>
      </c>
      <c r="B34" s="18" t="n">
        <v>2000</v>
      </c>
      <c r="F34" s="10" t="n"/>
    </row>
    <row r="35">
      <c r="A35" s="5" t="inlineStr">
        <is>
          <t>Custo por crédito (US$)</t>
        </is>
      </c>
      <c r="B35" s="19">
        <f>B33/B34</f>
        <v/>
      </c>
      <c r="F35" s="10" t="n"/>
    </row>
    <row r="36">
      <c r="A36" s="5" t="inlineStr">
        <is>
          <t>E-mails encontrados por busca (1 crédito cada; a busca pede até 10)</t>
        </is>
      </c>
      <c r="B36" s="9" t="n">
        <v>5</v>
      </c>
      <c r="F36" s="10" t="n"/>
    </row>
    <row r="37">
      <c r="F37" s="10" t="n"/>
    </row>
    <row r="38">
      <c r="A38" s="3" t="inlineStr">
        <is>
          <t>Uso por cliente</t>
        </is>
      </c>
      <c r="B38" s="4" t="n"/>
      <c r="C38" s="4" t="n"/>
      <c r="D38" s="4" t="n"/>
      <c r="E38" s="4" t="n"/>
      <c r="F38" s="11" t="n"/>
    </row>
    <row r="39">
      <c r="A39" s="13" t="inlineStr">
        <is>
          <t>Premissa</t>
        </is>
      </c>
      <c r="B39" s="14" t="inlineStr">
        <is>
          <t>Free</t>
        </is>
      </c>
      <c r="C39" s="14" t="inlineStr">
        <is>
          <t>Premium</t>
        </is>
      </c>
      <c r="D39" s="14" t="inlineStr">
        <is>
          <t>Premium 3 meses</t>
        </is>
      </c>
      <c r="E39" s="14" t="inlineStr">
        <is>
          <t>Ultra</t>
        </is>
      </c>
      <c r="F39" s="15" t="inlineStr">
        <is>
          <t>Observação</t>
        </is>
      </c>
    </row>
    <row r="40">
      <c r="A40" s="5" t="inlineStr">
        <is>
          <t>Uso do limite de e-mails e IA (%)</t>
        </is>
      </c>
      <c r="B40" s="8" t="n">
        <v>1</v>
      </c>
      <c r="C40" s="8" t="n">
        <v>1</v>
      </c>
      <c r="D40" s="8" t="n">
        <v>1</v>
      </c>
      <c r="E40" s="8" t="n">
        <v>1</v>
      </c>
      <c r="F40" s="7" t="inlineStr">
        <is>
          <t>100% = pior caso (cliente usa tudo). Reduza para o uso médio esperado.</t>
        </is>
      </c>
    </row>
    <row r="41">
      <c r="A41" s="5" t="inlineStr">
        <is>
          <t>Buscas de decisores por mês</t>
        </is>
      </c>
      <c r="B41" s="9" t="n">
        <v>0</v>
      </c>
      <c r="C41" s="9" t="n">
        <v>100</v>
      </c>
      <c r="D41" s="9" t="n">
        <v>100</v>
      </c>
      <c r="E41" s="9" t="n">
        <v>300</v>
      </c>
      <c r="F41" s="7" t="inlineStr">
        <is>
          <t>Não há limite no código para Premium/Ultra: este número é só uma premissa.</t>
        </is>
      </c>
    </row>
  </sheetData>
  <mergeCells count="1">
    <mergeCell ref="A2:F2"/>
  </mergeCells>
  <dataValidations count="1">
    <dataValidation sqref="B20" showDropDown="0" showInputMessage="0" showErrorMessage="0" allowBlank="0" type="list">
      <formula1>=$A$17:$A$19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64" customWidth="1" min="4" max="4"/>
  </cols>
  <sheetData>
    <row r="1">
      <c r="A1" s="1" t="inlineStr">
        <is>
          <t>Infra fixa mensal (independe do número de clientes)</t>
        </is>
      </c>
    </row>
    <row r="2">
      <c r="A2" s="2" t="inlineStr">
        <is>
          <t>As APIs pagas por uso (Claude, Resend, Hunter) entram por cliente na aba Custo por cliente, pelo custo unitário.</t>
        </is>
      </c>
    </row>
    <row r="4">
      <c r="A4" s="13" t="inlineStr">
        <is>
          <t>Item</t>
        </is>
      </c>
      <c r="B4" s="14" t="inlineStr">
        <is>
          <t>US$/mês</t>
        </is>
      </c>
      <c r="C4" s="14" t="inlineStr">
        <is>
          <t>R$/mês</t>
        </is>
      </c>
      <c r="D4" s="14" t="inlineStr">
        <is>
          <t>Observação</t>
        </is>
      </c>
    </row>
    <row r="5">
      <c r="A5" s="5" t="inlineStr">
        <is>
          <t>Vercel Pro (2 assentos de deploy)</t>
        </is>
      </c>
      <c r="B5" s="16" t="n">
        <v>40</v>
      </c>
      <c r="C5" s="20">
        <f>B5*Premissas!$B$5</f>
        <v/>
      </c>
      <c r="D5" s="7" t="inlineStr">
        <is>
          <t>Hobby (grátis) não permite uso comercial. Pro: US$ 20 com 1 assento + US$ 20 de crédito de uso.</t>
        </is>
      </c>
    </row>
    <row r="6">
      <c r="A6" s="5" t="inlineStr">
        <is>
          <t>Supabase Pro</t>
        </is>
      </c>
      <c r="B6" s="16" t="n">
        <v>25</v>
      </c>
      <c r="C6" s="20">
        <f>B6*Premissas!$B$5</f>
        <v/>
      </c>
      <c r="D6" s="7" t="inlineStr">
        <is>
          <t>Inclui ~8 GB de banco e 1 instância Micro. Base sob demanda cabe por bastante tempo.</t>
        </is>
      </c>
    </row>
    <row r="7">
      <c r="A7" s="5" t="inlineStr">
        <is>
          <t>Worker da importação (VPS / Railway / Fly)</t>
        </is>
      </c>
      <c r="B7" s="16" t="n">
        <v>10</v>
      </c>
      <c r="C7" s="20">
        <f>B7*Premissas!$B$5</f>
        <v/>
      </c>
      <c r="D7" s="7" t="inlineStr">
        <is>
          <t>Estimativa. Processo contínuo com ~20 GB de disco para os arquivos da Receita.</t>
        </is>
      </c>
    </row>
    <row r="8">
      <c r="A8" s="5" t="inlineStr">
        <is>
          <t>Domínio (.com.br, ~R$ 40/ano)</t>
        </is>
      </c>
      <c r="C8" s="12" t="n">
        <v>3.333333333333333</v>
      </c>
      <c r="D8" s="7" t="inlineStr">
        <is>
          <t>Valor em reais, rateado por mês.</t>
        </is>
      </c>
    </row>
    <row r="9">
      <c r="A9" s="21" t="inlineStr">
        <is>
          <t>Total</t>
        </is>
      </c>
      <c r="B9" s="22">
        <f>SUM(B5:B8)</f>
        <v/>
      </c>
      <c r="C9" s="23">
        <f>SUM(C5:C8)</f>
        <v/>
      </c>
      <c r="D9" s="10" t="n"/>
    </row>
    <row r="10">
      <c r="D10" s="10" t="n"/>
    </row>
    <row r="11">
      <c r="A11" s="5" t="inlineStr">
        <is>
          <t>Infra por cliente pagante (R$/mês)</t>
        </is>
      </c>
      <c r="C11" s="20">
        <f>IFERROR(C9/Premissas!B7,0)</f>
        <v/>
      </c>
      <c r="D11" s="10" t="n"/>
    </row>
    <row r="12">
      <c r="A12" s="5" t="inlineStr">
        <is>
          <t>Clientes Premium para pagar a infra (ponto de equilíbrio)</t>
        </is>
      </c>
      <c r="C12" s="24">
        <f>IFERROR(ROUNDUP(C9/'Custo por cliente'!C20,0),"-")</f>
        <v/>
      </c>
      <c r="D12" s="7" t="inlineStr">
        <is>
          <t>Infra total ÷ margem do Premium antes da infra.</t>
        </is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8" customWidth="1" min="4" max="4"/>
    <col width="16" customWidth="1" min="5" max="5"/>
    <col width="54" customWidth="1" min="6" max="6"/>
  </cols>
  <sheetData>
    <row r="1">
      <c r="A1" s="1" t="inlineStr">
        <is>
          <t>Custo e margem por cliente, por mês (R$)</t>
        </is>
      </c>
    </row>
    <row r="2">
      <c r="A2" s="2" t="inlineStr">
        <is>
          <t>Tudo calculado a partir da aba Premissas. Limites copiados de lib/pacotes.ts.</t>
        </is>
      </c>
    </row>
    <row r="4">
      <c r="A4" s="13" t="inlineStr"/>
      <c r="B4" s="14" t="inlineStr">
        <is>
          <t>Free</t>
        </is>
      </c>
      <c r="C4" s="14" t="inlineStr">
        <is>
          <t>Premium</t>
        </is>
      </c>
      <c r="D4" s="14" t="inlineStr">
        <is>
          <t>Premium 3 meses</t>
        </is>
      </c>
      <c r="E4" s="14" t="inlineStr">
        <is>
          <t>Ultra</t>
        </is>
      </c>
      <c r="F4" s="14" t="inlineStr">
        <is>
          <t>Como é calculado</t>
        </is>
      </c>
    </row>
    <row r="5">
      <c r="A5" s="3" t="inlineStr">
        <is>
          <t>Receita</t>
        </is>
      </c>
      <c r="B5" s="4" t="n"/>
      <c r="C5" s="4" t="n"/>
      <c r="D5" s="4" t="n"/>
      <c r="E5" s="4" t="n"/>
      <c r="F5" s="4" t="n"/>
    </row>
    <row r="6">
      <c r="A6" s="5" t="inlineStr">
        <is>
          <t>Preço por mês</t>
        </is>
      </c>
      <c r="B6" s="20">
        <f>Premissas!B10</f>
        <v/>
      </c>
      <c r="C6" s="20">
        <f>Premissas!B11</f>
        <v/>
      </c>
      <c r="D6" s="20">
        <f>Premissas!B12/3</f>
        <v/>
      </c>
      <c r="E6" s="20">
        <f>Premissas!B13</f>
        <v/>
      </c>
      <c r="F6" s="7" t="inlineStr">
        <is>
          <t>Premium 3 meses = preço do trimestre ÷ 3.</t>
        </is>
      </c>
    </row>
    <row r="7">
      <c r="A7" s="5" t="inlineStr">
        <is>
          <t>Receita líquida (após taxas)</t>
        </is>
      </c>
      <c r="B7" s="25">
        <f>B6*(1-Premissas!$B$6)</f>
        <v/>
      </c>
      <c r="C7" s="25">
        <f>C6*(1-Premissas!$B$6)</f>
        <v/>
      </c>
      <c r="D7" s="25">
        <f>D6*(1-Premissas!$B$6)</f>
        <v/>
      </c>
      <c r="E7" s="25">
        <f>E6*(1-Premissas!$B$6)</f>
        <v/>
      </c>
      <c r="F7" s="7" t="n"/>
    </row>
    <row r="8">
      <c r="A8" s="3" t="inlineStr">
        <is>
          <t>Limites do pacote (lib/pacotes.ts)</t>
        </is>
      </c>
      <c r="B8" s="4" t="n"/>
      <c r="C8" s="4" t="n"/>
      <c r="D8" s="4" t="n"/>
      <c r="E8" s="4" t="n"/>
      <c r="F8" s="26" t="n"/>
    </row>
    <row r="9">
      <c r="A9" s="5" t="inlineStr">
        <is>
          <t>E-mails por mês (primeiro envio)</t>
        </is>
      </c>
      <c r="B9" s="18" t="n">
        <v>20</v>
      </c>
      <c r="C9" s="18" t="n">
        <v>1000</v>
      </c>
      <c r="D9" s="18" t="n">
        <v>1000</v>
      </c>
      <c r="E9" s="18" t="n">
        <v>5000</v>
      </c>
      <c r="F9" s="7" t="n"/>
    </row>
    <row r="10">
      <c r="A10" s="5" t="inlineStr">
        <is>
          <t>Follow-up automático (1 = sim)</t>
        </is>
      </c>
      <c r="B10" s="18" t="n">
        <v>0</v>
      </c>
      <c r="C10" s="18" t="n">
        <v>1</v>
      </c>
      <c r="D10" s="18" t="n">
        <v>1</v>
      </c>
      <c r="E10" s="18" t="n">
        <v>1</v>
      </c>
      <c r="F10" s="7" t="n"/>
    </row>
    <row r="11">
      <c r="A11" s="5" t="inlineStr">
        <is>
          <t>Textos com IA por mês</t>
        </is>
      </c>
      <c r="B11" s="18" t="n">
        <v>10</v>
      </c>
      <c r="C11" s="18" t="n">
        <v>200</v>
      </c>
      <c r="D11" s="18" t="n">
        <v>200</v>
      </c>
      <c r="E11" s="18" t="n">
        <v>1000</v>
      </c>
      <c r="F11" s="7" t="n"/>
    </row>
    <row r="12">
      <c r="A12" s="3" t="inlineStr">
        <is>
          <t>Uso considerado</t>
        </is>
      </c>
      <c r="B12" s="4" t="n"/>
      <c r="C12" s="4" t="n"/>
      <c r="D12" s="4" t="n"/>
      <c r="E12" s="4" t="n"/>
      <c r="F12" s="26" t="n"/>
    </row>
    <row r="13">
      <c r="A13" s="5" t="inlineStr">
        <is>
          <t>E-mails enviados (inclui follow-up)</t>
        </is>
      </c>
      <c r="B13" s="27">
        <f>B9*Premissas!B40*IF(B10=1,Premissas!$B$30,1)</f>
        <v/>
      </c>
      <c r="C13" s="27">
        <f>C9*Premissas!C40*IF(C10=1,Premissas!$B$30,1)</f>
        <v/>
      </c>
      <c r="D13" s="27">
        <f>D9*Premissas!D40*IF(D10=1,Premissas!$B$30,1)</f>
        <v/>
      </c>
      <c r="E13" s="27">
        <f>E9*Premissas!E40*IF(E10=1,Premissas!$B$30,1)</f>
        <v/>
      </c>
      <c r="F13" s="7" t="inlineStr">
        <is>
          <t>Limite × % de uso × 2 quando há follow-up.</t>
        </is>
      </c>
    </row>
    <row r="14">
      <c r="A14" s="5" t="inlineStr">
        <is>
          <t>Textos gerados com IA</t>
        </is>
      </c>
      <c r="B14" s="27">
        <f>B11*Premissas!B40</f>
        <v/>
      </c>
      <c r="C14" s="27">
        <f>C11*Premissas!C40</f>
        <v/>
      </c>
      <c r="D14" s="27">
        <f>D11*Premissas!D40</f>
        <v/>
      </c>
      <c r="E14" s="27">
        <f>E11*Premissas!E40</f>
        <v/>
      </c>
      <c r="F14" s="7" t="n"/>
    </row>
    <row r="15">
      <c r="A15" s="5" t="inlineStr">
        <is>
          <t>Buscas de decisores (Hunter)</t>
        </is>
      </c>
      <c r="B15" s="24">
        <f>Premissas!B41</f>
        <v/>
      </c>
      <c r="C15" s="24">
        <f>Premissas!C41</f>
        <v/>
      </c>
      <c r="D15" s="24">
        <f>Premissas!D41</f>
        <v/>
      </c>
      <c r="E15" s="24">
        <f>Premissas!E41</f>
        <v/>
      </c>
      <c r="F15" s="7" t="n"/>
    </row>
    <row r="16">
      <c r="A16" s="3" t="inlineStr">
        <is>
          <t>Custos variáveis (R$/mês)</t>
        </is>
      </c>
      <c r="B16" s="4" t="n"/>
      <c r="C16" s="4" t="n"/>
      <c r="D16" s="4" t="n"/>
      <c r="E16" s="4" t="n"/>
      <c r="F16" s="26" t="n"/>
    </row>
    <row r="17">
      <c r="A17" s="5" t="inlineStr">
        <is>
          <t>IA (Claude, modelo em uso)</t>
        </is>
      </c>
      <c r="B17" s="25">
        <f>B14*Premissas!$B$23*Premissas!$B$5</f>
        <v/>
      </c>
      <c r="C17" s="25">
        <f>C14*Premissas!$B$23*Premissas!$B$5</f>
        <v/>
      </c>
      <c r="D17" s="25">
        <f>D14*Premissas!$B$23*Premissas!$B$5</f>
        <v/>
      </c>
      <c r="E17" s="25">
        <f>E14*Premissas!$B$23*Premissas!$B$5</f>
        <v/>
      </c>
      <c r="F17" s="7" t="n"/>
    </row>
    <row r="18">
      <c r="A18" s="5" t="inlineStr">
        <is>
          <t>E-mail (Resend)</t>
        </is>
      </c>
      <c r="B18" s="25">
        <f>B13*Premissas!$B$29*Premissas!$B$5</f>
        <v/>
      </c>
      <c r="C18" s="25">
        <f>C13*Premissas!$B$29*Premissas!$B$5</f>
        <v/>
      </c>
      <c r="D18" s="25">
        <f>D13*Premissas!$B$29*Premissas!$B$5</f>
        <v/>
      </c>
      <c r="E18" s="25">
        <f>E13*Premissas!$B$29*Premissas!$B$5</f>
        <v/>
      </c>
      <c r="F18" s="7" t="n"/>
    </row>
    <row r="19">
      <c r="A19" s="5" t="inlineStr">
        <is>
          <t>Decisores (Hunter)</t>
        </is>
      </c>
      <c r="B19" s="25">
        <f>B15*Premissas!$B$36*Premissas!$B$35*Premissas!$B$5</f>
        <v/>
      </c>
      <c r="C19" s="25">
        <f>C15*Premissas!$B$36*Premissas!$B$35*Premissas!$B$5</f>
        <v/>
      </c>
      <c r="D19" s="25">
        <f>D15*Premissas!$B$36*Premissas!$B$35*Premissas!$B$5</f>
        <v/>
      </c>
      <c r="E19" s="25">
        <f>E15*Premissas!$B$36*Premissas!$B$35*Premissas!$B$5</f>
        <v/>
      </c>
      <c r="F19" s="7" t="n"/>
    </row>
    <row r="20">
      <c r="A20" s="21" t="inlineStr">
        <is>
          <t>Margem antes da infra</t>
        </is>
      </c>
      <c r="B20" s="23">
        <f>B7-SUM(B17:B19)</f>
        <v/>
      </c>
      <c r="C20" s="23">
        <f>C7-SUM(C17:C19)</f>
        <v/>
      </c>
      <c r="D20" s="23">
        <f>D7-SUM(D17:D19)</f>
        <v/>
      </c>
      <c r="E20" s="23">
        <f>E7-SUM(E17:E19)</f>
        <v/>
      </c>
      <c r="F20" s="7" t="n"/>
    </row>
    <row r="21">
      <c r="A21" s="3" t="inlineStr">
        <is>
          <t>Resultado</t>
        </is>
      </c>
      <c r="B21" s="4" t="n"/>
      <c r="C21" s="4" t="n"/>
      <c r="D21" s="4" t="n"/>
      <c r="E21" s="4" t="n"/>
      <c r="F21" s="26" t="n"/>
    </row>
    <row r="22">
      <c r="A22" s="5" t="inlineStr">
        <is>
          <t>Infra fixa rateada</t>
        </is>
      </c>
      <c r="B22" s="12" t="n">
        <v>0</v>
      </c>
      <c r="C22" s="20">
        <f>'Infra fixa'!$C$11</f>
        <v/>
      </c>
      <c r="D22" s="20">
        <f>'Infra fixa'!$C$11</f>
        <v/>
      </c>
      <c r="E22" s="20">
        <f>'Infra fixa'!$C$11</f>
        <v/>
      </c>
      <c r="F22" s="7" t="inlineStr">
        <is>
          <t>Free não recebe rateio: o custo dele aparece como margem negativa.</t>
        </is>
      </c>
    </row>
    <row r="23">
      <c r="A23" s="21" t="inlineStr">
        <is>
          <t>Custo total por cliente</t>
        </is>
      </c>
      <c r="B23" s="23">
        <f>SUM(B17:B19)+B22</f>
        <v/>
      </c>
      <c r="C23" s="23">
        <f>SUM(C17:C19)+C22</f>
        <v/>
      </c>
      <c r="D23" s="23">
        <f>SUM(D17:D19)+D22</f>
        <v/>
      </c>
      <c r="E23" s="23">
        <f>SUM(E17:E19)+E22</f>
        <v/>
      </c>
      <c r="F23" s="7" t="n"/>
    </row>
    <row r="24">
      <c r="A24" s="21" t="inlineStr">
        <is>
          <t>Margem por cliente</t>
        </is>
      </c>
      <c r="B24" s="28">
        <f>B7-B23</f>
        <v/>
      </c>
      <c r="C24" s="28">
        <f>C7-C23</f>
        <v/>
      </c>
      <c r="D24" s="28">
        <f>D7-D23</f>
        <v/>
      </c>
      <c r="E24" s="28">
        <f>E7-E23</f>
        <v/>
      </c>
      <c r="F24" s="7" t="n"/>
    </row>
    <row r="25">
      <c r="A25" s="5" t="inlineStr">
        <is>
          <t>Margem sobre a receita líquida</t>
        </is>
      </c>
      <c r="B25" s="29">
        <f>IF(B7=0,"-",B24/B7)</f>
        <v/>
      </c>
      <c r="C25" s="29">
        <f>IF(C7=0,"-",C24/C7)</f>
        <v/>
      </c>
      <c r="D25" s="29">
        <f>IF(D7=0,"-",D24/D7)</f>
        <v/>
      </c>
      <c r="E25" s="29">
        <f>IF(E7=0,"-",E24/E7)</f>
        <v/>
      </c>
      <c r="F25" s="7" t="n"/>
    </row>
    <row r="26">
      <c r="F26" s="7" t="n"/>
    </row>
    <row r="27">
      <c r="A27" s="3" t="inlineStr">
        <is>
          <t>Simulação: IA com Haiku 5.5</t>
        </is>
      </c>
      <c r="B27" s="4" t="n"/>
      <c r="C27" s="4" t="n"/>
      <c r="D27" s="4" t="n"/>
      <c r="E27" s="4" t="n"/>
      <c r="F27" s="26" t="n"/>
    </row>
    <row r="28">
      <c r="A28" s="5" t="inlineStr">
        <is>
          <t>Custo de IA com Haiku 5.5</t>
        </is>
      </c>
      <c r="B28" s="25">
        <f>B14*Premissas!$B$24*Premissas!$B$5</f>
        <v/>
      </c>
      <c r="C28" s="25">
        <f>C14*Premissas!$B$24*Premissas!$B$5</f>
        <v/>
      </c>
      <c r="D28" s="25">
        <f>D14*Premissas!$B$24*Premissas!$B$5</f>
        <v/>
      </c>
      <c r="E28" s="25">
        <f>E14*Premissas!$B$24*Premissas!$B$5</f>
        <v/>
      </c>
      <c r="F28" s="7" t="n"/>
    </row>
    <row r="29">
      <c r="A29" s="5" t="inlineStr">
        <is>
          <t>Economia por cliente</t>
        </is>
      </c>
      <c r="B29" s="25">
        <f>B17-B28</f>
        <v/>
      </c>
      <c r="C29" s="25">
        <f>C17-C28</f>
        <v/>
      </c>
      <c r="D29" s="25">
        <f>D17-D28</f>
        <v/>
      </c>
      <c r="E29" s="25">
        <f>E17-E28</f>
        <v/>
      </c>
      <c r="F29" s="7" t="n"/>
    </row>
    <row r="30">
      <c r="A30" s="5" t="inlineStr">
        <is>
          <t>Margem por cliente com Haiku 5.5</t>
        </is>
      </c>
      <c r="B30" s="23">
        <f>B24+B29</f>
        <v/>
      </c>
      <c r="C30" s="23">
        <f>C24+C29</f>
        <v/>
      </c>
      <c r="D30" s="23">
        <f>D24+D29</f>
        <v/>
      </c>
      <c r="E30" s="23">
        <f>E24+E29</f>
        <v/>
      </c>
      <c r="F30" s="7" t="inlineStr">
        <is>
          <t>Só faz sentido se a qualidade dos textos se mantiver: teste antes de trocar.</t>
        </is>
      </c>
    </row>
    <row r="31">
      <c r="F31" s="7" t="n"/>
    </row>
    <row r="32">
      <c r="A32" s="3" t="inlineStr">
        <is>
          <t>Teto do Hunter: decisores por mês que zeram a margem</t>
        </is>
      </c>
      <c r="B32" s="4" t="n"/>
      <c r="C32" s="4" t="n"/>
      <c r="D32" s="4" t="n"/>
      <c r="E32" s="4" t="n"/>
      <c r="F32" s="26" t="n"/>
    </row>
    <row r="33">
      <c r="A33" s="5" t="inlineStr">
        <is>
          <t>Buscas de decisores até a margem chegar a zero</t>
        </is>
      </c>
      <c r="B33" s="5" t="inlineStr">
        <is>
          <t>-</t>
        </is>
      </c>
      <c r="C33" s="27">
        <f>IFERROR(MAX(0,ROUNDDOWN((C24+C19)/(Premissas!$B$36*Premissas!$B$35*Premissas!$B$5),0)),"-")</f>
        <v/>
      </c>
      <c r="D33" s="27">
        <f>IFERROR(MAX(0,ROUNDDOWN((D24+D19)/(Premissas!$B$36*Premissas!$B$35*Premissas!$B$5),0)),"-")</f>
        <v/>
      </c>
      <c r="E33" s="27">
        <f>IFERROR(MAX(0,ROUNDDOWN((E24+E19)/(Premissas!$B$36*Premissas!$B$35*Premissas!$B$5),0)),"-")</f>
        <v/>
      </c>
      <c r="F33" s="7" t="inlineStr">
        <is>
          <t>Base para definir um limite mensal de decisores por pacote (hoje não existe).</t>
        </is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Riscos encontrados no código e fontes dos preços</t>
        </is>
      </c>
    </row>
    <row r="3">
      <c r="A3" s="21" t="inlineStr">
        <is>
          <t>RISCOS NO CÓDIGO</t>
        </is>
      </c>
      <c r="B3" s="30" t="inlineStr"/>
    </row>
    <row r="4">
      <c r="A4" s="5" t="inlineStr">
        <is>
          <t>Decisores sem limite</t>
        </is>
      </c>
      <c r="B4" s="30" t="inlineStr">
        <is>
          <t>app/(app)/leads/enriquecer.ts só verifica se o pacote libera decisores; não conta buscas. Cada busca pede até 10 e-mails ao Hunter (1 crédito cada), na conta da Oraklo. É o custo variável com maior risco.</t>
        </is>
      </c>
    </row>
    <row r="5">
      <c r="A5" s="5" t="inlineStr">
        <is>
          <t>Follow-up fora do limite</t>
        </is>
      </c>
      <c r="B5" s="30" t="inlineStr">
        <is>
          <t>lib/planos.ts conta só o primeiro e-mail (step 1). Com follow-up, os envios reais chegam a 2× o limite do pacote.</t>
        </is>
      </c>
    </row>
    <row r="6">
      <c r="A6" s="5" t="inlineStr">
        <is>
          <t>IA no modelo mais caro</t>
        </is>
      </c>
      <c r="B6" s="30" t="inlineStr">
        <is>
          <t>lib/ia.ts usa claude-opus-5-5 (US$ 4 / US$ 20 por milhão de tokens). O Haiku 5.5 custa US$ 0,10 / US$ 0,50, cerca de 40× menos.</t>
        </is>
      </c>
    </row>
    <row r="7">
      <c r="A7" s="5" t="inlineStr">
        <is>
          <t>Vercel Hobby</t>
        </is>
      </c>
      <c r="B7" s="30" t="inlineStr">
        <is>
          <t>O plano grátis da Vercel não permite uso comercial. Para vender assinatura é preciso o Pro.</t>
        </is>
      </c>
    </row>
    <row r="8">
      <c r="A8" s="5" t="inlineStr">
        <is>
          <t>Resend e e-mail frio</t>
        </is>
      </c>
      <c r="B8" s="30" t="inlineStr">
        <is>
          <t>A política de uso da Resend proíbe envio para listas que não pediram para receber. O risco é bloqueio da conta, não custo.</t>
        </is>
      </c>
    </row>
    <row r="9">
      <c r="A9" s="5" t="inlineStr"/>
      <c r="B9" s="30" t="inlineStr"/>
    </row>
    <row r="10">
      <c r="A10" s="21" t="inlineStr">
        <is>
          <t>FONTES DOS PREÇOS</t>
        </is>
      </c>
      <c r="B10" s="30" t="inlineStr">
        <is>
          <t>Pesquisa feita em 24/10/2026. Confira nas páginas oficiais antes de fechar preços.</t>
        </is>
      </c>
    </row>
    <row r="11">
      <c r="A11" s="5" t="inlineStr">
        <is>
          <t>Claude (Anthropic)</t>
        </is>
      </c>
      <c r="B11" s="30" t="inlineStr">
        <is>
          <t>Tabela oficial de preços por modelo (atualizada em 06/10/2026): https://platform.claude.com/docs/en/about-claude/pricing</t>
        </is>
      </c>
    </row>
    <row r="12">
      <c r="A12" s="5" t="inlineStr">
        <is>
          <t>Hunter</t>
        </is>
      </c>
      <c r="B12" s="30" t="inlineStr">
        <is>
          <t>https://hunter.io/pricing · resumo: https://www.saleshandy.com/blog/hunter-io-pricing/</t>
        </is>
      </c>
    </row>
    <row r="13">
      <c r="A13" s="5" t="inlineStr">
        <is>
          <t>Resend</t>
        </is>
      </c>
      <c r="B13" s="30" t="inlineStr">
        <is>
          <t>https://resend.com/pricing · resumo: https://www.usecarly.com/blog/resend-pricing/</t>
        </is>
      </c>
    </row>
    <row r="14">
      <c r="A14" s="5" t="inlineStr">
        <is>
          <t>Supabase</t>
        </is>
      </c>
      <c r="B14" s="30" t="inlineStr">
        <is>
          <t>https://supabase.com/pricing · resumo: https://makerkit.dev/blog/md/saas/supabase-pricing</t>
        </is>
      </c>
    </row>
    <row r="15">
      <c r="A15" s="5" t="inlineStr">
        <is>
          <t>Vercel</t>
        </is>
      </c>
      <c r="B15" s="30" t="inlineStr">
        <is>
          <t>https://vercel.com/docs/plans/pro · https://makerkit.dev/blog/saas/vercel-cost</t>
        </is>
      </c>
    </row>
    <row r="16">
      <c r="A16" s="5" t="inlineStr">
        <is>
          <t>Câmbio</t>
        </is>
      </c>
      <c r="B16" s="30" t="inlineStr">
        <is>
          <t>Não encontrei cotação confiável na pesquisa: ajuste Premissas!B5.</t>
        </is>
      </c>
    </row>
    <row r="17">
      <c r="A17" s="5" t="inlineStr">
        <is>
          <t>Limites e preços dos pacotes</t>
        </is>
      </c>
      <c r="B17" s="30" t="inlineStr">
        <is>
          <t>lib/pacotes.ts (LIMITES e PACOTES), versão da main em 24/10/2026.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2026-10-25T00:06:41Z</dcterms:created>
  <dcterms:modified xsi:type="dcterms:W3CDTF">2026-10-25T00:06:41Z</dcterms:modified>
</cp:coreProperties>
</file>